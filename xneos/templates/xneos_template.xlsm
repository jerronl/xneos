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\tt\test\"/>
    </mc:Choice>
  </mc:AlternateContent>
  <xr:revisionPtr revIDLastSave="0" documentId="13_ncr:1_{F5A57637-BD52-4DA0-AD21-ADD7C30A03BE}" xr6:coauthVersionLast="47" xr6:coauthVersionMax="47" xr10:uidLastSave="{00000000-0000-0000-0000-000000000000}"/>
  <bookViews>
    <workbookView xWindow="10236" yWindow="7152" windowWidth="34428" windowHeight="16500" xr2:uid="{344C14C0-9DBF-45B4-BA9A-9091AFEA0148}"/>
  </bookViews>
  <sheets>
    <sheet name="solver" sheetId="1" r:id="rId1"/>
  </sheets>
  <functionGroups builtInGroupCount="19">
    <functionGroup name="xlwings"/>
  </functionGroups>
  <definedNames>
    <definedName name="category" localSheetId="0">solver!$D$1</definedName>
    <definedName name="demand" localSheetId="0">solver!$C$5:$I$5</definedName>
    <definedName name="DEST" localSheetId="0">solver!$C$4:$I$4</definedName>
    <definedName name="email" localSheetId="0">solver!$B$1</definedName>
    <definedName name="jobid" localSheetId="0">solver!$M$1</definedName>
    <definedName name="limit" localSheetId="0">solver!$C$11:$I$13</definedName>
    <definedName name="model_text" localSheetId="0">solver!$K$1</definedName>
    <definedName name="ORIG" localSheetId="0">solver!$A$6:$A$8</definedName>
    <definedName name="pwd" localSheetId="0">solver!$M$2</definedName>
    <definedName name="rate" localSheetId="0">solver!$C$6:$I$8</definedName>
    <definedName name="solver" localSheetId="0">solver!$F$1</definedName>
    <definedName name="status" localSheetId="0">solver!$M$3</definedName>
    <definedName name="supply" localSheetId="0">solver!$B$6:$B$8</definedName>
    <definedName name="total" localSheetId="0">solver!$B$21</definedName>
    <definedName name="Trans" localSheetId="0">solver!$C$17:$I$19</definedName>
  </definedNames>
  <calcPr calcId="181029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  <c r="E20" i="1"/>
  <c r="F20" i="1"/>
  <c r="G20" i="1"/>
  <c r="H20" i="1"/>
  <c r="I20" i="1"/>
  <c r="C20" i="1"/>
  <c r="B18" i="1"/>
  <c r="B19" i="1"/>
  <c r="B17" i="1"/>
  <c r="I25" i="1"/>
  <c r="H25" i="1"/>
  <c r="G25" i="1"/>
  <c r="F25" i="1"/>
  <c r="E25" i="1"/>
  <c r="D25" i="1"/>
  <c r="C25" i="1"/>
  <c r="I24" i="1"/>
  <c r="H24" i="1"/>
  <c r="G24" i="1"/>
  <c r="F24" i="1"/>
  <c r="E24" i="1"/>
  <c r="D24" i="1"/>
  <c r="C24" i="1"/>
  <c r="I23" i="1"/>
  <c r="H23" i="1"/>
  <c r="G23" i="1"/>
  <c r="F23" i="1"/>
  <c r="E23" i="1"/>
  <c r="D23" i="1"/>
  <c r="C23" i="1"/>
  <c r="A23" i="1" a="1"/>
  <c r="A24" i="1" s="1"/>
  <c r="C22" i="1" a="1"/>
  <c r="G22" i="1" s="1"/>
  <c r="A17" i="1" a="1"/>
  <c r="A18" i="1" s="1"/>
  <c r="C16" i="1" a="1"/>
  <c r="H16" i="1" s="1"/>
  <c r="C10" i="1" a="1"/>
  <c r="G10" i="1" s="1"/>
  <c r="A11" i="1" a="1"/>
  <c r="A11" i="1" s="1"/>
  <c r="B22" i="1" l="1"/>
  <c r="E10" i="1"/>
  <c r="D10" i="1"/>
  <c r="I16" i="1"/>
  <c r="F10" i="1"/>
  <c r="A13" i="1"/>
  <c r="H22" i="1"/>
  <c r="A12" i="1"/>
  <c r="I22" i="1"/>
  <c r="A19" i="1"/>
  <c r="A25" i="1"/>
  <c r="C16" i="1"/>
  <c r="C22" i="1"/>
  <c r="D16" i="1"/>
  <c r="D22" i="1"/>
  <c r="E16" i="1"/>
  <c r="E22" i="1"/>
  <c r="I10" i="1"/>
  <c r="F16" i="1"/>
  <c r="F22" i="1"/>
  <c r="H10" i="1"/>
  <c r="G16" i="1"/>
  <c r="A17" i="1"/>
  <c r="A23" i="1"/>
  <c r="C10" i="1"/>
</calcChain>
</file>

<file path=xl/sharedStrings.xml><?xml version="1.0" encoding="utf-8"?>
<sst xmlns="http://schemas.openxmlformats.org/spreadsheetml/2006/main" count="34" uniqueCount="32">
  <si>
    <t>Model Text</t>
  </si>
  <si>
    <t>status</t>
  </si>
  <si>
    <t>job#</t>
  </si>
  <si>
    <t>pwd</t>
  </si>
  <si>
    <t>email</t>
  </si>
  <si>
    <t>ORIG</t>
  </si>
  <si>
    <t>FRA</t>
  </si>
  <si>
    <t>DET</t>
  </si>
  <si>
    <t>LAN</t>
  </si>
  <si>
    <t>WIN</t>
  </si>
  <si>
    <t>STL</t>
  </si>
  <si>
    <t>FRE</t>
  </si>
  <si>
    <t>LAF</t>
  </si>
  <si>
    <t>GARY</t>
  </si>
  <si>
    <t>CLEV</t>
  </si>
  <si>
    <t>PITT</t>
  </si>
  <si>
    <t>DEST</t>
  </si>
  <si>
    <t xml:space="preserve">demand </t>
  </si>
  <si>
    <t xml:space="preserve">supply </t>
  </si>
  <si>
    <t>rate:</t>
  </si>
  <si>
    <t>limit :</t>
  </si>
  <si>
    <t>Trans:</t>
  </si>
  <si>
    <t>Total_Cost:</t>
  </si>
  <si>
    <t>sum</t>
  </si>
  <si>
    <t>🟢 written</t>
  </si>
  <si>
    <t xml:space="preserve">#model_text
#https://dev.ampl.com/ampl/books/ampl/examples/nltrans.mod.html
set ORIG;   # origins
set DEST;   # destinations
param supply {ORIG} &gt;= 0;   # amounts available at origins
param demand {DEST} &gt;= 0;   # amounts required at destinations
   check: sum {i in ORIG} supply[i] = sum {j in DEST} demand[j];
param rate {ORIG,DEST} &gt;= 0;   # base shipment costs per unit
param limit {ORIG,DEST} &gt; 0;   # limit on units shipped
var Trans {i in ORIG, j in DEST} &gt;= 0; # units to ship
var total=sum {i in ORIG, j in DEST}
      rate[i,j] * Trans[i,j] / (1 - Trans[i,j]/limit[i,j]);
minimize Total_Cost:total;
subject to Supply {i in ORIG}:
   sum {j in DEST} Trans[i,j] = supply[i];
subject to Demand {j in DEST}:
   sum {i in ORIG} Trans[i,j] = demand[j];
data ampl.dat; 
solve; 
_display Trans;
_display total;
</t>
  </si>
  <si>
    <t>solver</t>
  </si>
  <si>
    <t>category</t>
  </si>
  <si>
    <t>youremail@gmail.com</t>
  </si>
  <si>
    <t>nco</t>
  </si>
  <si>
    <t>Knitro</t>
  </si>
  <si>
    <t>eTwYkXUH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</si>
</sst>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;[Red]\-#,##0.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7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465926084170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7F7F7F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5" applyNumberFormat="0" applyAlignment="0" applyProtection="0"/>
    <xf numFmtId="0" fontId="10" fillId="5" borderId="4" applyNumberFormat="0" applyAlignment="0" applyProtection="0"/>
    <xf numFmtId="0" fontId="11" fillId="0" borderId="6" applyNumberFormat="0" applyFill="0" applyAlignment="0" applyProtection="0"/>
    <xf numFmtId="0" fontId="12" fillId="6" borderId="7" applyNumberFormat="0" applyAlignment="0" applyProtection="0"/>
    <xf numFmtId="0" fontId="13" fillId="0" borderId="0" applyNumberFormat="0" applyFill="0" applyBorder="0" applyAlignment="0" applyProtection="0"/>
    <xf numFmtId="0" fontId="1" fillId="7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4" applyNumberFormat="0" applyAlignment="0" applyProtection="0"/>
  </cellStyleXfs>
  <cellXfs count="9">
    <xf numFmtId="0" fontId="0" fillId="0" borderId="0" xfId="0"/>
    <xf numFmtId="0" fontId="18" fillId="0" borderId="0" xfId="0" applyFont="1" applyAlignment="1">
      <alignment vertical="center"/>
    </xf>
    <xf numFmtId="0" fontId="14" fillId="0" borderId="0" xfId="15"/>
    <xf numFmtId="0" fontId="14" fillId="0" borderId="0" xfId="15" applyNumberFormat="1"/>
    <xf numFmtId="0" fontId="10" fillId="5" borderId="4" xfId="10"/>
    <xf numFmtId="0" fontId="17" fillId="32" borderId="4" xfId="41"/>
    <xf numFmtId="164" fontId="17" fillId="32" borderId="10" xfId="41" applyNumberFormat="1" applyBorder="1" applyAlignment="1">
      <alignment vertical="top" wrapText="1"/>
    </xf>
    <xf numFmtId="164" fontId="17" fillId="32" borderId="0" xfId="41" applyNumberFormat="1" applyBorder="1" applyAlignment="1">
      <alignment vertical="top" wrapText="1"/>
    </xf>
    <xf numFmtId="0" fontId="0" fillId="0" borderId="0" xfId="0" applyAlignment="1">
      <alignment horizontal="left" vertical="top" wrapText="1"/>
    </xf>
  </cellXfs>
  <cellStyles count="42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 2" xfId="41" xr:uid="{AA22D331-B3AB-4B69-98E9-9AAD08C58D7C}"/>
    <cellStyle name="Linked Cell" xfId="11" builtinId="24" customBuiltin="1"/>
    <cellStyle name="Neutral" xfId="8" builtinId="28" customBuiltin="1"/>
    <cellStyle name="Normal" xfId="0" builtinId="0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236DC5E-4B9E-4F5B-89AB-C7A59A597A4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45720</xdr:rowOff>
        </xdr:from>
        <xdr:to>
          <xdr:col>9</xdr:col>
          <xdr:colOff>15240</xdr:colOff>
          <xdr:row>1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E654-9EF5-408A-A45D-779AE5079357}">
  <sheetPr codeName="shtSolver"/>
  <dimension ref="A1:M30"/>
  <sheetViews>
    <sheetView tabSelected="1" workbookViewId="0">
      <selection activeCell="C17" sqref="C17:I19"/>
    </sheetView>
  </sheetViews>
  <sheetFormatPr defaultRowHeight="14.4"/>
  <cols>
    <col min="2" max="2" width="9.6640625" bestFit="1" customWidth="1"/>
    <col min="6" max="6" width="12.5546875" customWidth="1"/>
    <col min="8" max="8" width="8.6640625" customWidth="1"/>
    <col min="10" max="10" width="10.21875" bestFit="1" customWidth="1"/>
    <col min="11" max="11" width="59.44140625" customWidth="1"/>
    <col min="13" max="13" width="24.109375" customWidth="1"/>
  </cols>
  <sheetData>
    <row r="1" spans="1:13">
      <c r="A1" t="s">
        <v>4</v>
      </c>
      <c r="B1" s="5" t="s">
        <v>28</v>
      </c>
      <c r="C1" t="s">
        <v>27</v>
      </c>
      <c r="D1" s="5" t="s">
        <v>29</v>
      </c>
      <c r="E1" t="s">
        <v>26</v>
      </c>
      <c r="F1" s="5" t="s">
        <v>30</v>
      </c>
      <c r="J1" t="s">
        <v>0</v>
      </c>
      <c r="K1" s="6" t="s">
        <v>25</v>
      </c>
      <c r="L1" t="s">
        <v>2</v>
      </c>
      <c r="M1" s="3">
        <v>16374862</v>
      </c>
    </row>
    <row r="2" spans="1:13">
      <c r="K2" s="7"/>
      <c r="L2" t="s">
        <v>3</v>
      </c>
      <c r="M2" s="2" t="s">
        <v>31</v>
      </c>
    </row>
    <row r="3" spans="1:13">
      <c r="A3" t="s">
        <v>19</v>
      </c>
      <c r="K3" s="7"/>
      <c r="L3" t="s">
        <v>1</v>
      </c>
      <c r="M3" s="8" t="s">
        <v>24</v>
      </c>
    </row>
    <row r="4" spans="1:13">
      <c r="A4" s="1" t="s">
        <v>5</v>
      </c>
      <c r="B4" s="1" t="s">
        <v>16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K4" s="7"/>
      <c r="M4" s="8"/>
    </row>
    <row r="5" spans="1:13">
      <c r="A5" s="1" t="s">
        <v>17</v>
      </c>
      <c r="B5" s="1" t="s">
        <v>18</v>
      </c>
      <c r="C5" s="1">
        <v>900</v>
      </c>
      <c r="D5" s="1">
        <v>1200</v>
      </c>
      <c r="E5" s="1">
        <v>600</v>
      </c>
      <c r="F5">
        <v>400</v>
      </c>
      <c r="G5">
        <v>1700</v>
      </c>
      <c r="H5">
        <v>1100</v>
      </c>
      <c r="I5">
        <v>1000</v>
      </c>
      <c r="K5" s="7"/>
      <c r="M5" s="8"/>
    </row>
    <row r="6" spans="1:13">
      <c r="A6" t="s">
        <v>13</v>
      </c>
      <c r="B6" s="1">
        <v>1400</v>
      </c>
      <c r="C6">
        <v>39</v>
      </c>
      <c r="D6">
        <v>14</v>
      </c>
      <c r="E6">
        <v>11</v>
      </c>
      <c r="F6">
        <v>14</v>
      </c>
      <c r="G6">
        <v>16</v>
      </c>
      <c r="H6">
        <v>82</v>
      </c>
      <c r="I6">
        <v>8</v>
      </c>
      <c r="K6" s="7"/>
      <c r="M6" s="8"/>
    </row>
    <row r="7" spans="1:13">
      <c r="A7" t="s">
        <v>14</v>
      </c>
      <c r="B7" s="1">
        <v>2600</v>
      </c>
      <c r="C7">
        <v>27</v>
      </c>
      <c r="D7">
        <v>9</v>
      </c>
      <c r="E7">
        <v>12</v>
      </c>
      <c r="F7">
        <v>9</v>
      </c>
      <c r="G7">
        <v>26</v>
      </c>
      <c r="H7">
        <v>95</v>
      </c>
      <c r="I7">
        <v>17</v>
      </c>
      <c r="K7" s="7"/>
      <c r="M7" s="8"/>
    </row>
    <row r="8" spans="1:13">
      <c r="A8" t="s">
        <v>15</v>
      </c>
      <c r="B8" s="1">
        <v>2900</v>
      </c>
      <c r="C8">
        <v>24</v>
      </c>
      <c r="D8">
        <v>14</v>
      </c>
      <c r="E8">
        <v>17</v>
      </c>
      <c r="F8">
        <v>13</v>
      </c>
      <c r="G8">
        <v>28</v>
      </c>
      <c r="H8">
        <v>99</v>
      </c>
      <c r="I8">
        <v>20</v>
      </c>
      <c r="K8" s="7"/>
      <c r="M8" s="8"/>
    </row>
    <row r="9" spans="1:13">
      <c r="K9" s="7"/>
      <c r="M9" s="8"/>
    </row>
    <row r="10" spans="1:13">
      <c r="A10" t="s">
        <v>20</v>
      </c>
      <c r="C10" t="str">
        <f t="array" ref="C10:I10">DEST</f>
        <v>FRA</v>
      </c>
      <c r="D10" t="str">
        <v>DET</v>
      </c>
      <c r="E10" t="str">
        <v>LAN</v>
      </c>
      <c r="F10" t="str">
        <v>WIN</v>
      </c>
      <c r="G10" t="str">
        <v>STL</v>
      </c>
      <c r="H10" t="str">
        <v>FRE</v>
      </c>
      <c r="I10" t="str">
        <v>LAF</v>
      </c>
      <c r="K10" s="7"/>
      <c r="M10" s="8"/>
    </row>
    <row r="11" spans="1:13">
      <c r="A11" t="str">
        <f t="array" ref="A11:A13">ORIG</f>
        <v>GARY</v>
      </c>
      <c r="C11">
        <v>500</v>
      </c>
      <c r="D11">
        <v>1000</v>
      </c>
      <c r="E11">
        <v>1000</v>
      </c>
      <c r="F11">
        <v>1000</v>
      </c>
      <c r="G11">
        <v>800</v>
      </c>
      <c r="H11">
        <v>500</v>
      </c>
      <c r="I11">
        <v>1000</v>
      </c>
      <c r="K11" s="7"/>
      <c r="M11" s="8"/>
    </row>
    <row r="12" spans="1:13">
      <c r="A12" t="str">
        <v>CLEV</v>
      </c>
      <c r="C12">
        <v>500</v>
      </c>
      <c r="D12">
        <v>800</v>
      </c>
      <c r="E12">
        <v>800</v>
      </c>
      <c r="F12">
        <v>800</v>
      </c>
      <c r="G12">
        <v>500</v>
      </c>
      <c r="H12">
        <v>500</v>
      </c>
      <c r="I12">
        <v>1000</v>
      </c>
      <c r="K12" s="7"/>
      <c r="M12" s="8"/>
    </row>
    <row r="13" spans="1:13">
      <c r="A13" t="str">
        <v>PITT</v>
      </c>
      <c r="C13">
        <v>800</v>
      </c>
      <c r="D13">
        <v>600</v>
      </c>
      <c r="E13">
        <v>600</v>
      </c>
      <c r="F13">
        <v>600</v>
      </c>
      <c r="G13">
        <v>500</v>
      </c>
      <c r="H13">
        <v>500</v>
      </c>
      <c r="I13">
        <v>900</v>
      </c>
      <c r="K13" s="7"/>
      <c r="M13" s="8"/>
    </row>
    <row r="14" spans="1:13">
      <c r="K14" s="7"/>
      <c r="M14" s="8"/>
    </row>
    <row r="15" spans="1:13">
      <c r="K15" s="7"/>
      <c r="M15" s="8"/>
    </row>
    <row r="16" spans="1:13">
      <c r="A16" t="s">
        <v>21</v>
      </c>
      <c r="B16" t="s">
        <v>23</v>
      </c>
      <c r="C16" t="str">
        <f t="array" ref="C16:I16">DEST</f>
        <v>FRA</v>
      </c>
      <c r="D16" t="str">
        <v>DET</v>
      </c>
      <c r="E16" t="str">
        <v>LAN</v>
      </c>
      <c r="F16" t="str">
        <v>WIN</v>
      </c>
      <c r="G16" t="str">
        <v>STL</v>
      </c>
      <c r="H16" t="str">
        <v>FRE</v>
      </c>
      <c r="I16" t="str">
        <v>LAF</v>
      </c>
      <c r="K16" s="7"/>
      <c r="M16" s="8"/>
    </row>
    <row r="17" spans="1:13">
      <c r="A17" t="str">
        <f t="array" ref="A17:A19">ORIG</f>
        <v>GARY</v>
      </c>
      <c r="B17">
        <f>SUM(C17:I17)</f>
        <v>0</v>
      </c>
      <c r="C17" s="4"/>
      <c r="D17" s="4"/>
      <c r="E17" s="4"/>
      <c r="F17" s="4"/>
      <c r="G17" s="4"/>
      <c r="H17" s="4"/>
      <c r="I17" s="4"/>
      <c r="K17" s="7"/>
      <c r="M17" s="8"/>
    </row>
    <row r="18" spans="1:13">
      <c r="A18" t="str">
        <v>CLEV</v>
      </c>
      <c r="B18">
        <f t="shared" ref="B18:B19" si="0">SUM(C18:I18)</f>
        <v>0</v>
      </c>
      <c r="C18" s="4"/>
      <c r="D18" s="4"/>
      <c r="E18" s="4"/>
      <c r="F18" s="4"/>
      <c r="G18" s="4"/>
      <c r="H18" s="4"/>
      <c r="I18" s="4"/>
      <c r="K18" s="7"/>
      <c r="M18" s="8"/>
    </row>
    <row r="19" spans="1:13">
      <c r="A19" t="str">
        <v>PITT</v>
      </c>
      <c r="B19">
        <f t="shared" si="0"/>
        <v>0</v>
      </c>
      <c r="C19" s="4"/>
      <c r="D19" s="4"/>
      <c r="E19" s="4"/>
      <c r="F19" s="4"/>
      <c r="G19" s="4"/>
      <c r="H19" s="4"/>
      <c r="I19" s="4"/>
      <c r="K19" s="7"/>
      <c r="M19" s="8"/>
    </row>
    <row r="20" spans="1:13">
      <c r="A20" t="s">
        <v>23</v>
      </c>
      <c r="C20">
        <f>SUM(C17:C19)</f>
        <v>0</v>
      </c>
      <c r="D20">
        <f t="shared" ref="D20:I20" si="1">SUM(D17:D19)</f>
        <v>0</v>
      </c>
      <c r="E20">
        <f t="shared" si="1"/>
        <v>0</v>
      </c>
      <c r="F20">
        <f t="shared" si="1"/>
        <v>0</v>
      </c>
      <c r="G20">
        <f t="shared" si="1"/>
        <v>0</v>
      </c>
      <c r="H20">
        <f t="shared" si="1"/>
        <v>0</v>
      </c>
      <c r="I20">
        <f t="shared" si="1"/>
        <v>0</v>
      </c>
      <c r="K20" s="7"/>
      <c r="M20" s="8"/>
    </row>
    <row r="21" spans="1:13">
      <c r="A21" t="s">
        <v>22</v>
      </c>
      <c r="B21" s="4">
        <v>489057.83951493801</v>
      </c>
      <c r="K21" s="7"/>
      <c r="M21" s="8"/>
    </row>
    <row r="22" spans="1:13">
      <c r="A22" t="s">
        <v>22</v>
      </c>
      <c r="B22">
        <f>SUM(C23:I25)</f>
        <v>0</v>
      </c>
      <c r="C22" t="str">
        <f t="array" ref="C22:I22">DEST</f>
        <v>FRA</v>
      </c>
      <c r="D22" t="str">
        <v>DET</v>
      </c>
      <c r="E22" t="str">
        <v>LAN</v>
      </c>
      <c r="F22" t="str">
        <v>WIN</v>
      </c>
      <c r="G22" t="str">
        <v>STL</v>
      </c>
      <c r="H22" t="str">
        <v>FRE</v>
      </c>
      <c r="I22" t="str">
        <v>LAF</v>
      </c>
      <c r="K22" s="7"/>
      <c r="M22" s="8"/>
    </row>
    <row r="23" spans="1:13">
      <c r="A23" t="str">
        <f t="array" ref="A23:A25">ORIG</f>
        <v>GARY</v>
      </c>
      <c r="C23">
        <f>C17*C6/(1-C17/C11)</f>
        <v>0</v>
      </c>
      <c r="D23">
        <f t="shared" ref="D23:I23" si="2">D17*D6/(1-D17/D11)</f>
        <v>0</v>
      </c>
      <c r="E23">
        <f t="shared" si="2"/>
        <v>0</v>
      </c>
      <c r="F23">
        <f t="shared" si="2"/>
        <v>0</v>
      </c>
      <c r="G23">
        <f t="shared" si="2"/>
        <v>0</v>
      </c>
      <c r="H23">
        <f t="shared" si="2"/>
        <v>0</v>
      </c>
      <c r="I23">
        <f t="shared" si="2"/>
        <v>0</v>
      </c>
      <c r="K23" s="7"/>
      <c r="M23" s="8"/>
    </row>
    <row r="24" spans="1:13">
      <c r="A24" t="str">
        <v>CLEV</v>
      </c>
      <c r="C24">
        <f t="shared" ref="C24:I24" si="3">C18*C7/(1-C18/C12)</f>
        <v>0</v>
      </c>
      <c r="D24">
        <f t="shared" si="3"/>
        <v>0</v>
      </c>
      <c r="E24">
        <f t="shared" si="3"/>
        <v>0</v>
      </c>
      <c r="F24">
        <f t="shared" si="3"/>
        <v>0</v>
      </c>
      <c r="G24">
        <f t="shared" si="3"/>
        <v>0</v>
      </c>
      <c r="H24">
        <f t="shared" si="3"/>
        <v>0</v>
      </c>
      <c r="I24">
        <f t="shared" si="3"/>
        <v>0</v>
      </c>
      <c r="K24" s="7"/>
      <c r="M24" s="8"/>
    </row>
    <row r="25" spans="1:13">
      <c r="A25" t="str">
        <v>PITT</v>
      </c>
      <c r="C25">
        <f t="shared" ref="C25:I25" si="4">C19*C8/(1-C19/C13)</f>
        <v>0</v>
      </c>
      <c r="D25">
        <f t="shared" si="4"/>
        <v>0</v>
      </c>
      <c r="E25">
        <f t="shared" si="4"/>
        <v>0</v>
      </c>
      <c r="F25">
        <f t="shared" si="4"/>
        <v>0</v>
      </c>
      <c r="G25">
        <f t="shared" si="4"/>
        <v>0</v>
      </c>
      <c r="H25">
        <f t="shared" si="4"/>
        <v>0</v>
      </c>
      <c r="I25">
        <f t="shared" si="4"/>
        <v>0</v>
      </c>
      <c r="K25" s="7"/>
      <c r="M25" s="8"/>
    </row>
    <row r="26" spans="1:13">
      <c r="K26" s="7"/>
      <c r="M26" s="8"/>
    </row>
    <row r="27" spans="1:13">
      <c r="K27" s="7"/>
      <c r="M27" s="8"/>
    </row>
    <row r="28" spans="1:13">
      <c r="K28" s="7"/>
      <c r="M28" s="8"/>
    </row>
    <row r="29" spans="1:13">
      <c r="K29" s="7"/>
      <c r="M29" s="8"/>
    </row>
    <row r="30" spans="1:13">
      <c r="K30" s="7"/>
    </row>
  </sheetData>
  <mergeCells count="2">
    <mergeCell ref="K1:K30"/>
    <mergeCell ref="M3:M2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Sheet">
                <anchor moveWithCells="1" sizeWithCells="1">
                  <from>
                    <xdr:col>8</xdr:col>
                    <xdr:colOff>45720</xdr:colOff>
                    <xdr:row>0</xdr:row>
                    <xdr:rowOff>45720</xdr:rowOff>
                  </from>
                  <to>
                    <xdr:col>9</xdr:col>
                    <xdr:colOff>15240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solver</vt:lpstr>
      <vt:lpstr>solver!category</vt:lpstr>
      <vt:lpstr>solver!demand</vt:lpstr>
      <vt:lpstr>solver!DEST</vt:lpstr>
      <vt:lpstr>solver!email</vt:lpstr>
      <vt:lpstr>solver!jobid</vt:lpstr>
      <vt:lpstr>solver!limit</vt:lpstr>
      <vt:lpstr>solver!model_text</vt:lpstr>
      <vt:lpstr>solver!ORIG</vt:lpstr>
      <vt:lpstr>solver!pwd</vt:lpstr>
      <vt:lpstr>solver!rate</vt:lpstr>
      <vt:lpstr>solver!solver</vt:lpstr>
      <vt:lpstr>solver!status</vt:lpstr>
      <vt:lpstr>solver!supply</vt:lpstr>
      <vt:lpstr>solver!total</vt:lpstr>
      <vt:lpstr>solver!Trans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jerron liu</dc:creator>
  <cp:lastModifiedBy>jerron liu</cp:lastModifiedBy>
  <dcterms:created xsi:type="dcterms:W3CDTF">2025-06-21T02:08:56Z</dcterms:created>
  <dcterms:modified xsi:type="dcterms:W3CDTF">2025-06-21T19:51:08Z</dcterms:modified>
</cp:coreProperties>
</file>